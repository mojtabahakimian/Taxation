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xWindow="0" yWindow="0" windowWidth="18480" windowHeight="9315" tabRatio="601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8" i="1" l="1"/>
  <c r="E8" i="1"/>
  <c r="C8" i="1"/>
  <c r="B8" i="1"/>
  <c r="D4" i="1"/>
  <c r="G4" i="1" s="1"/>
  <c r="D3" i="1"/>
  <c r="G3" i="1" s="1"/>
  <c r="H3" i="1" s="1"/>
  <c r="I3" i="1" s="1"/>
  <c r="D8" i="1" l="1"/>
  <c r="G8" i="1"/>
  <c r="H4" i="1"/>
  <c r="I4" i="1" s="1"/>
  <c r="I8" i="1" s="1"/>
  <c r="H8" i="1" l="1"/>
</calcChain>
</file>

<file path=xl/sharedStrings.xml><?xml version="1.0" encoding="utf-8"?>
<sst xmlns="http://schemas.openxmlformats.org/spreadsheetml/2006/main" count="33" uniqueCount="33">
  <si>
    <t>نام کالا</t>
  </si>
  <si>
    <t>مقدار کل کالا</t>
  </si>
  <si>
    <t>مبلغ</t>
  </si>
  <si>
    <t>مبلغ تخفیف</t>
  </si>
  <si>
    <t>نرخ مالیات</t>
  </si>
  <si>
    <t>مبلغ مالیات</t>
  </si>
  <si>
    <t>مبلغ کل (قبل از تخفیف)</t>
  </si>
  <si>
    <t>مبلغ کل (خالص پس از تخفیف)</t>
  </si>
  <si>
    <t>sstt</t>
  </si>
  <si>
    <t>am</t>
  </si>
  <si>
    <t>fee</t>
  </si>
  <si>
    <t>prdis</t>
  </si>
  <si>
    <t>dis</t>
  </si>
  <si>
    <t>vra</t>
  </si>
  <si>
    <t>adis</t>
  </si>
  <si>
    <t>vam</t>
  </si>
  <si>
    <t xml:space="preserve"> مبلغ کل کالا/خدمت نهایی (مبلغ قابل پرداخت)</t>
  </si>
  <si>
    <t>tsstam</t>
  </si>
  <si>
    <t>پنیر پیتزای موزرلا 500 گرمی</t>
  </si>
  <si>
    <t>شیر کم چرب 1لیتری</t>
  </si>
  <si>
    <t>جمع :</t>
  </si>
  <si>
    <t>مجموع مبلغ قبل از کسر تخفیف</t>
  </si>
  <si>
    <t>Body</t>
  </si>
  <si>
    <t>Head</t>
  </si>
  <si>
    <t>tprdis</t>
  </si>
  <si>
    <t>مجموع تخفیفات</t>
  </si>
  <si>
    <t>tdis</t>
  </si>
  <si>
    <t>مجموع مبلغ پس از کسر تخفیف</t>
  </si>
  <si>
    <t>tadis</t>
  </si>
  <si>
    <t>مجموع مالیات بر ارزش افزوده</t>
  </si>
  <si>
    <t>tvam</t>
  </si>
  <si>
    <t>tbill</t>
  </si>
  <si>
    <t>مجموع صورتحساب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</si>
</sst>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Arial"/>
      <family val="2"/>
      <charset val="178"/>
      <scheme val="minor"/>
    </font>
    <font>
      <sz val="11"/>
      <color rgb="FF006100"/>
      <name val="Arial"/>
      <family val="2"/>
      <charset val="178"/>
      <scheme val="minor"/>
    </font>
    <font>
      <sz val="11"/>
      <color theme="1"/>
      <name val="IRANYekanFN"/>
      <family val="2"/>
    </font>
    <font>
      <sz val="11"/>
      <color rgb="FF006100"/>
      <name val="IRANYekanFN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8">
    <xf numFmtId="0" fontId="0" fillId="0" borderId="0" xfId="0"/>
    <xf numFmtId="3" fontId="2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3" fontId="2" fillId="0" borderId="0" xfId="0" applyNumberFormat="1" applyFont="1" applyAlignment="1">
      <alignment horizontal="right" vertical="center"/>
    </xf>
    <xf numFmtId="3" fontId="3" fillId="2" borderId="0" xfId="1" applyNumberFormat="1" applyFont="1" applyAlignment="1">
      <alignment horizontal="center" vertical="center"/>
    </xf>
    <xf numFmtId="3" fontId="2" fillId="3" borderId="0" xfId="0" applyNumberFormat="1" applyFont="1" applyFill="1" applyBorder="1" applyAlignment="1">
      <alignment horizontal="center" vertical="center"/>
    </xf>
    <xf numFmtId="3" fontId="2" fillId="0" borderId="0" xfId="0" applyNumberFormat="1" applyFont="1" applyFill="1" applyBorder="1" applyAlignment="1">
      <alignment horizontal="center" vertical="center"/>
    </xf>
    <xf numFmtId="3" fontId="2" fillId="0" borderId="0" xfId="0" applyNumberFormat="1" applyFont="1" applyAlignment="1">
      <alignment vertical="center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Views>
    <sheetView rightToLeft="1" tabSelected="1" workbookViewId="0">
      <selection activeCell="C3" sqref="C3"/>
    </sheetView>
  </sheetViews>
  <sheetFormatPr defaultRowHeight="22.5" x14ac:dyDescent="0.2"/>
  <cols>
    <col min="1" max="1" width="23.375" style="1" bestFit="1" customWidth="1"/>
    <col min="2" max="2" width="11.375" style="1" bestFit="1" customWidth="1"/>
    <col min="3" max="3" width="11.5" style="1" customWidth="1"/>
    <col min="4" max="4" width="26.375" style="1" bestFit="1" customWidth="1"/>
    <col min="5" max="5" width="14" style="1" bestFit="1" customWidth="1"/>
    <col min="6" max="6" width="9.5" style="1" bestFit="1" customWidth="1"/>
    <col min="7" max="7" width="26.375" style="1" bestFit="1" customWidth="1"/>
    <col min="8" max="8" width="24.875" style="1" bestFit="1" customWidth="1"/>
    <col min="9" max="9" width="38.5" style="1" bestFit="1" customWidth="1"/>
    <col min="10" max="16384" width="9" style="1"/>
  </cols>
  <sheetData>
    <row r="1" spans="1:10" x14ac:dyDescent="0.2">
      <c r="A1" s="2" t="s">
        <v>8</v>
      </c>
      <c r="B1" s="2" t="s">
        <v>9</v>
      </c>
      <c r="C1" s="2" t="s">
        <v>10</v>
      </c>
      <c r="D1" s="2" t="s">
        <v>11</v>
      </c>
      <c r="E1" s="2" t="s">
        <v>12</v>
      </c>
      <c r="F1" s="1" t="s">
        <v>13</v>
      </c>
      <c r="G1" s="2" t="s">
        <v>14</v>
      </c>
      <c r="H1" s="2" t="s">
        <v>15</v>
      </c>
      <c r="I1" s="2" t="s">
        <v>17</v>
      </c>
      <c r="J1" s="3" t="s">
        <v>22</v>
      </c>
    </row>
    <row r="2" spans="1:10" x14ac:dyDescent="0.2">
      <c r="A2" s="4" t="s">
        <v>0</v>
      </c>
      <c r="B2" s="4" t="s">
        <v>1</v>
      </c>
      <c r="C2" s="4" t="s">
        <v>2</v>
      </c>
      <c r="D2" s="4" t="s">
        <v>6</v>
      </c>
      <c r="E2" s="4" t="s">
        <v>3</v>
      </c>
      <c r="F2" s="4" t="s">
        <v>4</v>
      </c>
      <c r="G2" s="4" t="s">
        <v>7</v>
      </c>
      <c r="H2" s="4" t="s">
        <v>5</v>
      </c>
      <c r="I2" s="4" t="s">
        <v>16</v>
      </c>
    </row>
    <row r="3" spans="1:10" x14ac:dyDescent="0.2">
      <c r="A3" s="1" t="s">
        <v>18</v>
      </c>
      <c r="B3" s="1">
        <v>1</v>
      </c>
      <c r="C3" s="1">
        <v>9000</v>
      </c>
      <c r="D3" s="1">
        <f>C3*B3</f>
        <v>9000</v>
      </c>
      <c r="E3" s="1">
        <v>7000</v>
      </c>
      <c r="F3" s="1">
        <v>9</v>
      </c>
      <c r="G3" s="1">
        <f>D3-E3</f>
        <v>2000</v>
      </c>
      <c r="H3" s="1">
        <f>G3*F3/100</f>
        <v>180</v>
      </c>
      <c r="I3" s="1">
        <f>G3+H3</f>
        <v>2180</v>
      </c>
    </row>
    <row r="4" spans="1:10" x14ac:dyDescent="0.2">
      <c r="A4" s="1" t="s">
        <v>19</v>
      </c>
      <c r="B4" s="1">
        <v>2</v>
      </c>
      <c r="C4" s="1">
        <v>40000</v>
      </c>
      <c r="D4" s="1">
        <f>C4*B4</f>
        <v>80000</v>
      </c>
      <c r="E4" s="1">
        <v>1000</v>
      </c>
      <c r="F4" s="1">
        <v>0</v>
      </c>
      <c r="G4" s="1">
        <f>D4-E4</f>
        <v>79000</v>
      </c>
      <c r="H4" s="1">
        <f>G4*F4/100</f>
        <v>0</v>
      </c>
      <c r="I4" s="1">
        <f>G4+H4</f>
        <v>79000</v>
      </c>
    </row>
    <row r="6" spans="1:10" x14ac:dyDescent="0.2">
      <c r="A6" s="5"/>
      <c r="B6" s="5"/>
      <c r="C6" s="5"/>
      <c r="D6" s="5" t="s">
        <v>24</v>
      </c>
      <c r="E6" s="5" t="s">
        <v>26</v>
      </c>
      <c r="F6" s="5"/>
      <c r="G6" s="5" t="s">
        <v>28</v>
      </c>
      <c r="H6" s="5" t="s">
        <v>30</v>
      </c>
      <c r="I6" s="5" t="s">
        <v>31</v>
      </c>
      <c r="J6" s="3" t="s">
        <v>23</v>
      </c>
    </row>
    <row r="7" spans="1:10" x14ac:dyDescent="0.2">
      <c r="A7" s="6"/>
      <c r="B7" s="6"/>
      <c r="C7" s="6"/>
      <c r="D7" s="6" t="s">
        <v>21</v>
      </c>
      <c r="E7" s="6" t="s">
        <v>25</v>
      </c>
      <c r="F7" s="6"/>
      <c r="G7" s="6" t="s">
        <v>27</v>
      </c>
      <c r="H7" s="6" t="s">
        <v>29</v>
      </c>
      <c r="I7" s="6" t="s">
        <v>32</v>
      </c>
      <c r="J7" s="7"/>
    </row>
    <row r="8" spans="1:10" x14ac:dyDescent="0.2">
      <c r="A8" s="1" t="s">
        <v>20</v>
      </c>
      <c r="B8" s="1">
        <f>SUM(B3:B6)</f>
        <v>3</v>
      </c>
      <c r="C8" s="1">
        <f>SUM(C3:C6)</f>
        <v>49000</v>
      </c>
      <c r="D8" s="1">
        <f>SUM(D3:D4)</f>
        <v>89000</v>
      </c>
      <c r="E8" s="1">
        <f>SUM(E3:E6)</f>
        <v>8000</v>
      </c>
      <c r="F8" s="1">
        <f>SUM(F3:F4)</f>
        <v>9</v>
      </c>
      <c r="G8" s="1">
        <f>SUM(G3:G4)</f>
        <v>81000</v>
      </c>
      <c r="H8" s="1">
        <f>SUM(H3:H4)</f>
        <v>180</v>
      </c>
      <c r="I8" s="1">
        <f>SUM(I3:I4)</f>
        <v>81180</v>
      </c>
      <c r="J8" s="7"/>
    </row>
    <row r="10" spans="1:10" x14ac:dyDescent="0.2">
      <c r="G10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</dc:creator>
  <cp:lastModifiedBy>Microsoft Office</cp:lastModifiedBy>
  <dcterms:created xsi:type="dcterms:W3CDTF">2024-01-01T16:33:07Z</dcterms:created>
  <dcterms:modified xsi:type="dcterms:W3CDTF">2024-01-02T00:07:23Z</dcterms:modified>
</cp:coreProperties>
</file>